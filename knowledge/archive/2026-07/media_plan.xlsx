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ディアプラン" sheetId="1" state="visible" r:id="rId1"/>
    <sheet name="選定根拠・注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4" fontId="3" fillId="3" borderId="1" pivotButton="0" quotePrefix="0" xfId="0"/>
    <xf numFmtId="10" fontId="3" fillId="3" borderId="1" pivotButton="0" quotePrefix="0" xfId="0"/>
    <xf numFmtId="164" fontId="3" fillId="3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デジタル広告 メディアプラン &amp; シミュレーション</t>
        </is>
      </c>
    </row>
    <row r="2">
      <c r="A2" t="inlineStr">
        <is>
          <t>目的: reach（）</t>
        </is>
      </c>
    </row>
    <row r="3">
      <c r="A3" t="inlineStr">
        <is>
          <t>総予算: 45,000,000円 / 期間: 3.0ヶ月 / 月額: 15,000,000円</t>
        </is>
      </c>
    </row>
    <row r="4">
      <c r="A4" t="inlineStr">
        <is>
          <t>商材URL: https://example.com/protein</t>
        </is>
      </c>
    </row>
    <row r="5">
      <c r="A5" t="inlineStr">
        <is>
          <t>純リーチ(重複排除済): 18,186,631</t>
        </is>
      </c>
    </row>
    <row r="7">
      <c r="A7" s="2" t="inlineStr">
        <is>
          <t>媒体</t>
        </is>
      </c>
      <c r="B7" s="2" t="inlineStr">
        <is>
          <t>最適化情報</t>
        </is>
      </c>
      <c r="C7" s="2" t="inlineStr">
        <is>
          <t>ターゲティング情報</t>
        </is>
      </c>
      <c r="D7" s="2" t="inlineStr">
        <is>
          <t>COST</t>
        </is>
      </c>
      <c r="E7" s="2" t="inlineStr">
        <is>
          <t>Impression</t>
        </is>
      </c>
      <c r="F7" s="2" t="inlineStr">
        <is>
          <t>CPM</t>
        </is>
      </c>
      <c r="G7" s="2" t="inlineStr">
        <is>
          <t>Reach</t>
        </is>
      </c>
      <c r="H7" s="2" t="inlineStr">
        <is>
          <t>FQ</t>
        </is>
      </c>
      <c r="I7" s="2" t="inlineStr">
        <is>
          <t>CPR</t>
        </is>
      </c>
      <c r="J7" s="2" t="inlineStr">
        <is>
          <t>Click</t>
        </is>
      </c>
      <c r="K7" s="2" t="inlineStr">
        <is>
          <t>CTR</t>
        </is>
      </c>
      <c r="L7" s="2" t="inlineStr">
        <is>
          <t>CPC</t>
        </is>
      </c>
      <c r="M7" s="2" t="inlineStr">
        <is>
          <t>View(100%)</t>
        </is>
      </c>
      <c r="N7" s="2" t="inlineStr">
        <is>
          <t>VTR(100%)</t>
        </is>
      </c>
      <c r="O7" s="2" t="inlineStr">
        <is>
          <t>CPV(100%)</t>
        </is>
      </c>
      <c r="P7" s="2" t="inlineStr">
        <is>
          <t>View</t>
        </is>
      </c>
      <c r="Q7" s="2" t="inlineStr">
        <is>
          <t>VTR</t>
        </is>
      </c>
      <c r="R7" s="2" t="inlineStr">
        <is>
          <t>CPV</t>
        </is>
      </c>
      <c r="S7" s="2" t="inlineStr">
        <is>
          <t>ENG</t>
        </is>
      </c>
      <c r="T7" s="2" t="inlineStr">
        <is>
          <t>ENGR</t>
        </is>
      </c>
      <c r="U7" s="2" t="inlineStr">
        <is>
          <t>CPE</t>
        </is>
      </c>
    </row>
    <row r="8">
      <c r="A8" s="3" t="inlineStr">
        <is>
          <t>YouTube（Google Ads 動画/Demand Gen）</t>
        </is>
      </c>
      <c r="B8" s="3" t="inlineStr">
        <is>
          <t>リーチ最適（FQ最小化・Reach最大化）</t>
        </is>
      </c>
      <c r="C8" s="3" t="inlineStr">
        <is>
          <t>広域（年齢/性別/エリアのみ） | デモグラ広域（年齢/性別/地域/言語）。セグメント最小化でFQ最小・最大リーチ</t>
        </is>
      </c>
      <c r="D8" s="4" t="n">
        <v>9963000</v>
      </c>
      <c r="E8" s="4">
        <f>D8/F8*1000</f>
        <v/>
      </c>
      <c r="F8" s="5" t="n">
        <v>694.4</v>
      </c>
      <c r="G8" s="4">
        <f>E8/H8</f>
        <v/>
      </c>
      <c r="H8" s="3" t="n">
        <v>3.12</v>
      </c>
      <c r="I8" s="5">
        <f>D8/G8</f>
        <v/>
      </c>
      <c r="J8" s="4">
        <f>E8*K8</f>
        <v/>
      </c>
      <c r="K8" s="6" t="n">
        <v>0.004</v>
      </c>
      <c r="L8" s="5">
        <f>D8/J8</f>
        <v/>
      </c>
      <c r="M8" s="4">
        <f>E8*N8</f>
        <v/>
      </c>
      <c r="N8" s="6" t="n">
        <v>0.17</v>
      </c>
      <c r="O8" s="5">
        <f>D8/M8</f>
        <v/>
      </c>
      <c r="P8" s="4">
        <f>E8*Q8</f>
        <v/>
      </c>
      <c r="Q8" s="6" t="n">
        <v>0.46</v>
      </c>
      <c r="R8" s="5">
        <f>D8/P8</f>
        <v/>
      </c>
      <c r="S8" s="4">
        <f>E8*T8</f>
        <v/>
      </c>
      <c r="T8" s="7" t="n">
        <v>0.003</v>
      </c>
      <c r="U8" s="5">
        <f>D8/S8</f>
        <v/>
      </c>
    </row>
    <row r="9">
      <c r="A9" s="3" t="inlineStr">
        <is>
          <t>YouTube（Google Ads 動画/Demand Gen）</t>
        </is>
      </c>
      <c r="B9" s="3" t="inlineStr">
        <is>
          <t>視聴最適（視聴数最大化）</t>
        </is>
      </c>
      <c r="C9" s="3" t="inlineStr">
        <is>
          <t>広域（年齢/性別/エリアのみ） | デモグラ広域（年齢/性別/地域/言語）。セグメント最小化でFQ最小・最大リーチ</t>
        </is>
      </c>
      <c r="D9" s="4" t="n">
        <v>3321000</v>
      </c>
      <c r="E9" s="4">
        <f>D9/F9*1000</f>
        <v/>
      </c>
      <c r="F9" s="5" t="n">
        <v>985.6</v>
      </c>
      <c r="G9" s="4">
        <f>E9/H9</f>
        <v/>
      </c>
      <c r="H9" s="3" t="n">
        <v>4.32</v>
      </c>
      <c r="I9" s="5">
        <f>D9/G9</f>
        <v/>
      </c>
      <c r="J9" s="4">
        <f>E9*K9</f>
        <v/>
      </c>
      <c r="K9" s="6" t="n">
        <v>0.006</v>
      </c>
      <c r="L9" s="5">
        <f>D9/J9</f>
        <v/>
      </c>
      <c r="M9" s="4">
        <f>E9*N9</f>
        <v/>
      </c>
      <c r="N9" s="6" t="n">
        <v>0.31</v>
      </c>
      <c r="O9" s="5">
        <f>D9/M9</f>
        <v/>
      </c>
      <c r="P9" s="4">
        <f>E9*Q9</f>
        <v/>
      </c>
      <c r="Q9" s="6" t="n">
        <v>0.63</v>
      </c>
      <c r="R9" s="5">
        <f>D9/P9</f>
        <v/>
      </c>
      <c r="S9" s="4">
        <f>E9*T9</f>
        <v/>
      </c>
      <c r="T9" s="7" t="n">
        <v>0.0042</v>
      </c>
      <c r="U9" s="5">
        <f>D9/S9</f>
        <v/>
      </c>
    </row>
    <row r="10">
      <c r="A10" s="3" t="inlineStr">
        <is>
          <t>Meta（Facebook/Instagram）</t>
        </is>
      </c>
      <c r="B10" s="3" t="inlineStr">
        <is>
          <t>リーチ最適（FQ最小化・Reach最大化）</t>
        </is>
      </c>
      <c r="C10" s="3" t="inlineStr">
        <is>
          <t>広域（年齢/性別/エリアのみ） | Advantage+オーディエンス（地域・最小年齢のみ指定しAIに委譲）でFQ最小・最大リーチ</t>
        </is>
      </c>
      <c r="D10" s="4" t="n">
        <v>8856000</v>
      </c>
      <c r="E10" s="4">
        <f>D10/F10*1000</f>
        <v/>
      </c>
      <c r="F10" s="5" t="n">
        <v>604.8</v>
      </c>
      <c r="G10" s="4">
        <f>E10/H10</f>
        <v/>
      </c>
      <c r="H10" s="3" t="n">
        <v>2.88</v>
      </c>
      <c r="I10" s="5">
        <f>D10/G10</f>
        <v/>
      </c>
      <c r="J10" s="4">
        <f>E10*K10</f>
        <v/>
      </c>
      <c r="K10" s="6" t="n">
        <v>0.008</v>
      </c>
      <c r="L10" s="5">
        <f>D10/J10</f>
        <v/>
      </c>
      <c r="M10" s="4">
        <f>E10*N10</f>
        <v/>
      </c>
      <c r="N10" s="6" t="n">
        <v>0.09</v>
      </c>
      <c r="O10" s="5">
        <f>D10/M10</f>
        <v/>
      </c>
      <c r="P10" s="4">
        <f>E10*Q10</f>
        <v/>
      </c>
      <c r="Q10" s="6" t="n">
        <v>0.3</v>
      </c>
      <c r="R10" s="5">
        <f>D10/P10</f>
        <v/>
      </c>
      <c r="S10" s="4">
        <f>E10*T10</f>
        <v/>
      </c>
      <c r="T10" s="7" t="n">
        <v>0.008999999999999999</v>
      </c>
      <c r="U10" s="5">
        <f>D10/S10</f>
        <v/>
      </c>
    </row>
    <row r="11">
      <c r="A11" s="3" t="inlineStr">
        <is>
          <t>Meta（Facebook/Instagram）</t>
        </is>
      </c>
      <c r="B11" s="3" t="inlineStr">
        <is>
          <t>視聴最適（視聴数最大化）</t>
        </is>
      </c>
      <c r="C11" s="3" t="inlineStr">
        <is>
          <t>広域（年齢/性別/エリアのみ） | Advantage+オーディエンス（地域・最小年齢のみ指定しAIに委譲）でFQ最小・最大リーチ</t>
        </is>
      </c>
      <c r="D11" s="4" t="n">
        <v>2952000</v>
      </c>
      <c r="E11" s="4">
        <f>D11/F11*1000</f>
        <v/>
      </c>
      <c r="F11" s="5" t="n">
        <v>851.2</v>
      </c>
      <c r="G11" s="4">
        <f>E11/H11</f>
        <v/>
      </c>
      <c r="H11" s="3" t="n">
        <v>4.08</v>
      </c>
      <c r="I11" s="5">
        <f>D11/G11</f>
        <v/>
      </c>
      <c r="J11" s="4">
        <f>E11*K11</f>
        <v/>
      </c>
      <c r="K11" s="6" t="n">
        <v>0.0095</v>
      </c>
      <c r="L11" s="5">
        <f>D11/J11</f>
        <v/>
      </c>
      <c r="M11" s="4">
        <f>E11*N11</f>
        <v/>
      </c>
      <c r="N11" s="6" t="n">
        <v>0.15</v>
      </c>
      <c r="O11" s="5">
        <f>D11/M11</f>
        <v/>
      </c>
      <c r="P11" s="4">
        <f>E11*Q11</f>
        <v/>
      </c>
      <c r="Q11" s="6" t="n">
        <v>0.48</v>
      </c>
      <c r="R11" s="5">
        <f>D11/P11</f>
        <v/>
      </c>
      <c r="S11" s="4">
        <f>E11*T11</f>
        <v/>
      </c>
      <c r="T11" s="7" t="n">
        <v>0.012</v>
      </c>
      <c r="U11" s="5">
        <f>D11/S11</f>
        <v/>
      </c>
    </row>
    <row r="12">
      <c r="A12" s="3" t="inlineStr">
        <is>
          <t>TikTok</t>
        </is>
      </c>
      <c r="B12" s="3" t="inlineStr">
        <is>
          <t>リーチ最適（FQ最小化・Reach最大化）</t>
        </is>
      </c>
      <c r="C12" s="3" t="inlineStr">
        <is>
          <t>広域（年齢/性別/エリアのみ） | コアデモ（年齢帯/性別/地域）＋Smart Targetingで広域・最大リーチ</t>
        </is>
      </c>
      <c r="D12" s="4" t="n">
        <v>8856000</v>
      </c>
      <c r="E12" s="4">
        <f>D12/F12*1000</f>
        <v/>
      </c>
      <c r="F12" s="5" t="n">
        <v>504</v>
      </c>
      <c r="G12" s="4">
        <f>E12/H12</f>
        <v/>
      </c>
      <c r="H12" s="3" t="n">
        <v>2.64</v>
      </c>
      <c r="I12" s="5">
        <f>D12/G12</f>
        <v/>
      </c>
      <c r="J12" s="4">
        <f>E12*K12</f>
        <v/>
      </c>
      <c r="K12" s="6" t="n">
        <v>0.008999999999999999</v>
      </c>
      <c r="L12" s="5">
        <f>D12/J12</f>
        <v/>
      </c>
      <c r="M12" s="4">
        <f>E12*N12</f>
        <v/>
      </c>
      <c r="N12" s="6" t="n">
        <v>0.06</v>
      </c>
      <c r="O12" s="5">
        <f>D12/M12</f>
        <v/>
      </c>
      <c r="P12" s="4">
        <f>E12*Q12</f>
        <v/>
      </c>
      <c r="Q12" s="6" t="n">
        <v>0.55</v>
      </c>
      <c r="R12" s="5">
        <f>D12/P12</f>
        <v/>
      </c>
      <c r="S12" s="4">
        <f>E12*T12</f>
        <v/>
      </c>
      <c r="T12" s="7" t="n">
        <v>0.015</v>
      </c>
      <c r="U12" s="5">
        <f>D12/S12</f>
        <v/>
      </c>
    </row>
    <row r="13">
      <c r="A13" s="3" t="inlineStr">
        <is>
          <t>TikTok</t>
        </is>
      </c>
      <c r="B13" s="3" t="inlineStr">
        <is>
          <t>視聴最適（視聴数最大化）</t>
        </is>
      </c>
      <c r="C13" s="3" t="inlineStr">
        <is>
          <t>広域（年齢/性別/エリアのみ） | コアデモ（年齢帯/性別/地域）＋Smart Targetingで広域・最大リーチ</t>
        </is>
      </c>
      <c r="D13" s="4" t="n">
        <v>2952000</v>
      </c>
      <c r="E13" s="4">
        <f>D13/F13*1000</f>
        <v/>
      </c>
      <c r="F13" s="5" t="n">
        <v>761.6</v>
      </c>
      <c r="G13" s="4">
        <f>E13/H13</f>
        <v/>
      </c>
      <c r="H13" s="3" t="n">
        <v>3.96</v>
      </c>
      <c r="I13" s="5">
        <f>D13/G13</f>
        <v/>
      </c>
      <c r="J13" s="4">
        <f>E13*K13</f>
        <v/>
      </c>
      <c r="K13" s="6" t="n">
        <v>0.0105</v>
      </c>
      <c r="L13" s="5">
        <f>D13/J13</f>
        <v/>
      </c>
      <c r="M13" s="4">
        <f>E13*N13</f>
        <v/>
      </c>
      <c r="N13" s="6" t="n">
        <v>0.11</v>
      </c>
      <c r="O13" s="5">
        <f>D13/M13</f>
        <v/>
      </c>
      <c r="P13" s="4">
        <f>E13*Q13</f>
        <v/>
      </c>
      <c r="Q13" s="6" t="n">
        <v>0.72</v>
      </c>
      <c r="R13" s="5">
        <f>D13/P13</f>
        <v/>
      </c>
      <c r="S13" s="4">
        <f>E13*T13</f>
        <v/>
      </c>
      <c r="T13" s="7" t="n">
        <v>0.02</v>
      </c>
      <c r="U13" s="5">
        <f>D13/S13</f>
        <v/>
      </c>
    </row>
    <row r="14">
      <c r="A14" s="3" t="inlineStr">
        <is>
          <t>YouTube（Google Ads 動画/Demand Gen）</t>
        </is>
      </c>
      <c r="B14" s="3" t="inlineStr">
        <is>
          <t>YouTube マストヘッド/予約型(指定リーチ)</t>
        </is>
      </c>
      <c r="C14" s="3" t="inlineStr">
        <is>
          <t>広域（年齢/性別/エリアのみ） | デモグラ広域（年齢/性別/地域/言語）。セグメント最小化でFQ最小・最大リーチ</t>
        </is>
      </c>
      <c r="D14" s="4" t="n">
        <v>8100000</v>
      </c>
      <c r="E14" s="4">
        <f>D14/F14*1000</f>
        <v/>
      </c>
      <c r="F14" s="5" t="n">
        <v>537.6</v>
      </c>
      <c r="G14" s="4">
        <f>E14/H14</f>
        <v/>
      </c>
      <c r="H14" s="3" t="n">
        <v>2.04</v>
      </c>
      <c r="I14" s="5">
        <f>D14/G14</f>
        <v/>
      </c>
      <c r="J14" s="4">
        <f>E14*K14</f>
        <v/>
      </c>
      <c r="K14" s="6" t="n">
        <v>0.0035</v>
      </c>
      <c r="L14" s="5">
        <f>D14/J14</f>
        <v/>
      </c>
      <c r="M14" s="4">
        <f>E14*N14</f>
        <v/>
      </c>
      <c r="N14" s="6" t="n">
        <v>0.2</v>
      </c>
      <c r="O14" s="5">
        <f>D14/M14</f>
        <v/>
      </c>
      <c r="P14" s="4">
        <f>E14*Q14</f>
        <v/>
      </c>
      <c r="Q14" s="6" t="n">
        <v>0.5</v>
      </c>
      <c r="R14" s="5">
        <f>D14/P14</f>
        <v/>
      </c>
      <c r="S14" s="4">
        <f>E14*T14</f>
        <v/>
      </c>
      <c r="T14" s="7" t="n">
        <v>0.0028</v>
      </c>
      <c r="U14" s="5">
        <f>D14/S14</f>
        <v/>
      </c>
    </row>
    <row r="15">
      <c r="A15" s="8" t="inlineStr">
        <is>
          <t>合計 / TOTAL</t>
        </is>
      </c>
      <c r="B15" s="8" t="inlineStr">
        <is>
          <t>—</t>
        </is>
      </c>
      <c r="C15" s="8" t="inlineStr">
        <is>
          <t>Reach列は単純合算せず重複排除後の純リーチ（基準4）</t>
        </is>
      </c>
      <c r="D15" s="9">
        <f>SUM(D8:D14)</f>
        <v/>
      </c>
      <c r="E15" s="9">
        <f>SUM(E8:E14)</f>
        <v/>
      </c>
      <c r="F15" s="10">
        <f>D15/E15*1000</f>
        <v/>
      </c>
      <c r="G15" s="9" t="n">
        <v>18186631</v>
      </c>
      <c r="H15" s="8">
        <f>E15/G15</f>
        <v/>
      </c>
      <c r="I15" s="10">
        <f>D15/G15</f>
        <v/>
      </c>
      <c r="J15" s="9">
        <f>SUM(J8:J14)</f>
        <v/>
      </c>
      <c r="K15" s="11">
        <f>J15/E15</f>
        <v/>
      </c>
      <c r="L15" s="10">
        <f>D15/J15</f>
        <v/>
      </c>
      <c r="M15" s="9">
        <f>SUM(M8:M14)</f>
        <v/>
      </c>
      <c r="N15" s="11">
        <f>M15/E15</f>
        <v/>
      </c>
      <c r="O15" s="10">
        <f>D15/M15</f>
        <v/>
      </c>
      <c r="P15" s="9">
        <f>SUM(P8:P14)</f>
        <v/>
      </c>
      <c r="Q15" s="11">
        <f>P15/E15</f>
        <v/>
      </c>
      <c r="R15" s="10">
        <f>D15/P15</f>
        <v/>
      </c>
      <c r="S15" s="9">
        <f>SUM(S8:S14)</f>
        <v/>
      </c>
      <c r="T15" s="12">
        <f>S15/E15</f>
        <v/>
      </c>
      <c r="U15" s="10">
        <f>D15/S15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0" customWidth="1" min="4" max="4"/>
  </cols>
  <sheetData>
    <row r="1">
      <c r="A1" s="13" t="inlineStr">
        <is>
          <t>媒体</t>
        </is>
      </c>
      <c r="B1" s="13" t="inlineStr">
        <is>
          <t>最適化</t>
        </is>
      </c>
      <c r="C1" s="13" t="inlineStr">
        <is>
          <t>ターゲティング</t>
        </is>
      </c>
      <c r="D1" s="13" t="inlineStr">
        <is>
          <t>選定根拠</t>
        </is>
      </c>
    </row>
    <row r="2">
      <c r="A2" t="inlineStr">
        <is>
          <t>YouTube（Google Ads 動画/Demand Gen）</t>
        </is>
      </c>
      <c r="B2" t="inlineStr">
        <is>
          <t>リーチ最適（FQ最小化・Reach最大化）</t>
        </is>
      </c>
      <c r="C2" t="inlineStr">
        <is>
          <t>広域（年齢/性別/エリアのみ） | デモグラ広域（年齢/性別/地域/言語）。セグメント最小化でFQ最小・最大リーチ</t>
        </is>
      </c>
      <c r="D2" t="inlineStr">
        <is>
          <t>目的『reach』へのYouTube適性=9/10 / FQ最小化で純リーチ最大化</t>
        </is>
      </c>
    </row>
    <row r="3">
      <c r="A3" t="inlineStr">
        <is>
          <t>YouTube（Google Ads 動画/Demand Gen）</t>
        </is>
      </c>
      <c r="B3" t="inlineStr">
        <is>
          <t>視聴最適（視聴数最大化）</t>
        </is>
      </c>
      <c r="C3" t="inlineStr">
        <is>
          <t>広域（年齢/性別/エリアのみ） | デモグラ広域（年齢/性別/地域/言語）。セグメント最小化でFQ最小・最大リーチ</t>
        </is>
      </c>
      <c r="D3" t="inlineStr">
        <is>
          <t>目的『reach』へのYouTube適性=9/10 / 視聴傾向ユーザーへ入札集中し視聴数最大化</t>
        </is>
      </c>
    </row>
    <row r="4">
      <c r="A4" t="inlineStr">
        <is>
          <t>Meta（Facebook/Instagram）</t>
        </is>
      </c>
      <c r="B4" t="inlineStr">
        <is>
          <t>リーチ最適（FQ最小化・Reach最大化）</t>
        </is>
      </c>
      <c r="C4" t="inlineStr">
        <is>
          <t>広域（年齢/性別/エリアのみ） | Advantage+オーディエンス（地域・最小年齢のみ指定しAIに委譲）でFQ最小・最大リーチ</t>
        </is>
      </c>
      <c r="D4" t="inlineStr">
        <is>
          <t>目的『reach』へのMeta適性=8/10 / FQ最小化で純リーチ最大化</t>
        </is>
      </c>
    </row>
    <row r="5">
      <c r="A5" t="inlineStr">
        <is>
          <t>Meta（Facebook/Instagram）</t>
        </is>
      </c>
      <c r="B5" t="inlineStr">
        <is>
          <t>視聴最適（視聴数最大化）</t>
        </is>
      </c>
      <c r="C5" t="inlineStr">
        <is>
          <t>広域（年齢/性別/エリアのみ） | Advantage+オーディエンス（地域・最小年齢のみ指定しAIに委譲）でFQ最小・最大リーチ</t>
        </is>
      </c>
      <c r="D5" t="inlineStr">
        <is>
          <t>目的『reach』へのMeta適性=8/10 / 視聴傾向ユーザーへ入札集中し視聴数最大化</t>
        </is>
      </c>
    </row>
    <row r="6">
      <c r="A6" t="inlineStr">
        <is>
          <t>TikTok</t>
        </is>
      </c>
      <c r="B6" t="inlineStr">
        <is>
          <t>リーチ最適（FQ最小化・Reach最大化）</t>
        </is>
      </c>
      <c r="C6" t="inlineStr">
        <is>
          <t>広域（年齢/性別/エリアのみ） | コアデモ（年齢帯/性別/地域）＋Smart Targetingで広域・最大リーチ</t>
        </is>
      </c>
      <c r="D6" t="inlineStr">
        <is>
          <t>目的『reach』へのTikTok適性=8/10 / FQ最小化で純リーチ最大化</t>
        </is>
      </c>
    </row>
    <row r="7">
      <c r="A7" t="inlineStr">
        <is>
          <t>TikTok</t>
        </is>
      </c>
      <c r="B7" t="inlineStr">
        <is>
          <t>視聴最適（視聴数最大化）</t>
        </is>
      </c>
      <c r="C7" t="inlineStr">
        <is>
          <t>広域（年齢/性別/エリアのみ） | コアデモ（年齢帯/性別/地域）＋Smart Targetingで広域・最大リーチ</t>
        </is>
      </c>
      <c r="D7" t="inlineStr">
        <is>
          <t>目的『reach』へのTikTok適性=8/10 / 視聴傾向ユーザーへ入札集中し視聴数最大化</t>
        </is>
      </c>
    </row>
    <row r="8">
      <c r="A8" t="inlineStr">
        <is>
          <t>YouTube（Google Ads 動画/Demand Gen）</t>
        </is>
      </c>
      <c r="B8" t="inlineStr">
        <is>
          <t>YouTube マストヘッド/予約型(指定リーチ)</t>
        </is>
      </c>
      <c r="C8" t="inlineStr">
        <is>
          <t>広域（年齢/性別/エリアのみ） | デモグラ広域（年齢/性別/地域/言語）。セグメント最小化でFQ最小・最大リーチ</t>
        </is>
      </c>
      <c r="D8" t="inlineStr">
        <is>
          <t>目的『reach』へのYouTube適性=9/10 / 指定リーチを固定確保し短期で爆発的到達</t>
        </is>
      </c>
    </row>
    <row r="10">
      <c r="A10" t="inlineStr">
        <is>
          <t>■ 与件達成見込み（基準6）</t>
        </is>
      </c>
      <c r="B10" t="inlineStr">
        <is>
          <t>主目的『認知/リーチ』→ 純リーチ 18,186,631人。</t>
        </is>
      </c>
    </row>
    <row r="12">
      <c r="A12" t="inlineStr">
        <is>
          <t>■ 純リーチ算出（基準4）</t>
        </is>
      </c>
      <c r="B12" t="inlineStr">
        <is>
          <t>純リーチ=18,186,631（母集団U=62,000,000[broad], 単純合算なら22,176,219→重複排除で過大評価を回避）。媒体内重複55%/媒体間重複15%を仮定。</t>
        </is>
      </c>
    </row>
    <row r="14">
      <c r="A14" t="inlineStr">
        <is>
          <t>■ 仮定（質問せず置いた前提）</t>
        </is>
      </c>
    </row>
    <row r="15">
      <c r="A15" t="inlineStr"/>
      <c r="B15" t="inlineStr">
        <is>
          <t>潤沢予算（月額15,000,000円≥10,000,000）のため予約型['YouTube']を追加し爆発的リーチを確保（基準2）。</t>
        </is>
      </c>
    </row>
    <row r="17">
      <c r="A17" t="inlineStr">
        <is>
          <t>■ 与件適合チェック / 警告（基準6）</t>
        </is>
      </c>
    </row>
    <row r="18">
      <c r="A18" t="inlineStr"/>
      <c r="B18" t="inlineStr">
        <is>
          <t>なし（与件を満たす構成）</t>
        </is>
      </c>
    </row>
    <row r="20">
      <c r="A20" t="inlineStr">
        <is>
          <t>■ View/ENG 媒体別定義（基準1）</t>
        </is>
      </c>
    </row>
    <row r="21">
      <c r="A21" t="inlineStr">
        <is>
          <t>YouTube（Google Ads 動画/Demand Gen）</t>
        </is>
      </c>
      <c r="B21" t="inlineStr">
        <is>
          <t>View=TrueViewビュー: 30秒到達 or 完了 or 広告要素クリック（スキッパブル）</t>
        </is>
      </c>
      <c r="C21" t="inlineStr">
        <is>
          <t>View100=完全視聴: 動画を100%再生</t>
        </is>
      </c>
      <c r="D21" t="inlineStr">
        <is>
          <t>ENG=いいね/コメント/共有/チャンネル登録/CTA等インタラクション</t>
        </is>
      </c>
    </row>
    <row r="22">
      <c r="A22" t="inlineStr">
        <is>
          <t>Meta（Facebook/Instagram）</t>
        </is>
      </c>
      <c r="B22" t="inlineStr">
        <is>
          <t>View=2秒以上の連続動画再生（2-Second Continuous Video View）</t>
        </is>
      </c>
      <c r="C22" t="inlineStr">
        <is>
          <t>View100=ThruPlay: 尺&lt;15秒は完全再生 / 尺≥15秒は15秒以上再生</t>
        </is>
      </c>
      <c r="D22" t="inlineStr">
        <is>
          <t>ENG=リアクション/コメント/シェア/保存/ポストエンゲージメント</t>
        </is>
      </c>
    </row>
    <row r="23">
      <c r="A23" t="inlineStr">
        <is>
          <t>TikTok</t>
        </is>
      </c>
      <c r="B23" t="inlineStr">
        <is>
          <t>View=2秒再生（2-second video view, リプレイ除外）</t>
        </is>
      </c>
      <c r="C23" t="inlineStr">
        <is>
          <t>View100=100%到達（Video Views at 100%）</t>
        </is>
      </c>
      <c r="D23" t="inlineStr">
        <is>
          <t>ENG=いいね/コメント/シェア/フォロー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2026-07-01T21:47:49Z</dcterms:created>
  <dcterms:modified xsi:type="dcterms:W3CDTF">2026-07-01T21:47:49Z</dcterms:modified>
</cp:coreProperties>
</file>